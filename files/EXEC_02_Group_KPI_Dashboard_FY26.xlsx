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Margin" sheetId="2" state="visible" r:id="rId2"/>
    <sheet xmlns:r="http://schemas.openxmlformats.org/officeDocument/2006/relationships" name="ROIC" sheetId="3" state="visible" r:id="rId3"/>
    <sheet xmlns:r="http://schemas.openxmlformats.org/officeDocument/2006/relationships" name="Cash" sheetId="4" state="visible" r:id="rId4"/>
    <sheet xmlns:r="http://schemas.openxmlformats.org/officeDocument/2006/relationships" name="Head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Division</t>
        </is>
      </c>
      <c r="B1" s="1" t="inlineStr">
        <is>
          <t>Jul-25</t>
        </is>
      </c>
      <c r="C1" s="1" t="inlineStr">
        <is>
          <t>Aug-25</t>
        </is>
      </c>
      <c r="D1" s="1" t="inlineStr">
        <is>
          <t>Sep-25</t>
        </is>
      </c>
      <c r="E1" s="1" t="inlineStr">
        <is>
          <t>Oct-25</t>
        </is>
      </c>
      <c r="F1" s="1" t="inlineStr">
        <is>
          <t>Nov-25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  <c r="M1" s="1" t="inlineStr">
        <is>
          <t>Jun-26</t>
        </is>
      </c>
      <c r="N1" s="1" t="inlineStr">
        <is>
          <t>YTD</t>
        </is>
      </c>
      <c r="O1" s="1" t="inlineStr">
        <is>
          <t>Target</t>
        </is>
      </c>
      <c r="P1" s="1" t="inlineStr">
        <is>
          <t>Variance %</t>
        </is>
      </c>
    </row>
    <row r="2">
      <c r="A2" s="2" t="inlineStr">
        <is>
          <t>Zava Bank</t>
        </is>
      </c>
      <c r="B2" s="3" t="n">
        <v>565</v>
      </c>
      <c r="C2" s="3" t="n">
        <v>601.4</v>
      </c>
      <c r="D2" s="3" t="n">
        <v>619</v>
      </c>
      <c r="E2" s="3" t="n">
        <v>597.8</v>
      </c>
      <c r="F2" s="3" t="n">
        <v>617.6</v>
      </c>
      <c r="G2" s="3" t="n">
        <v>603.3</v>
      </c>
      <c r="H2" s="3" t="n">
        <v>594.4</v>
      </c>
      <c r="I2" s="3" t="n">
        <v>526</v>
      </c>
      <c r="J2" s="3" t="n">
        <v>552.5</v>
      </c>
      <c r="K2" s="3" t="n">
        <v>503.6</v>
      </c>
      <c r="L2" s="3" t="n">
        <v>494.9</v>
      </c>
      <c r="M2" s="3" t="n">
        <v>524.4</v>
      </c>
      <c r="N2" s="3" t="n">
        <v>6799.9</v>
      </c>
      <c r="O2" s="3" t="n">
        <v>6868</v>
      </c>
      <c r="P2" s="4" t="n">
        <v>-0.009915550378567322</v>
      </c>
    </row>
    <row r="3">
      <c r="A3" s="2" t="inlineStr">
        <is>
          <t>Zava Plantations</t>
        </is>
      </c>
      <c r="B3" s="3" t="n">
        <v>463.3</v>
      </c>
      <c r="C3" s="3" t="n">
        <v>484.5</v>
      </c>
      <c r="D3" s="3" t="n">
        <v>473.4</v>
      </c>
      <c r="E3" s="3" t="n">
        <v>498.4</v>
      </c>
      <c r="F3" s="3" t="n">
        <v>464.6</v>
      </c>
      <c r="G3" s="3" t="n">
        <v>493.3</v>
      </c>
      <c r="H3" s="3" t="n">
        <v>451.3</v>
      </c>
      <c r="I3" s="3" t="n">
        <v>444.5</v>
      </c>
      <c r="J3" s="3" t="n">
        <v>412.1</v>
      </c>
      <c r="K3" s="3" t="n">
        <v>398.4</v>
      </c>
      <c r="L3" s="3" t="n">
        <v>393.7</v>
      </c>
      <c r="M3" s="3" t="n">
        <v>422.5</v>
      </c>
      <c r="N3" s="3" t="n">
        <v>5400</v>
      </c>
      <c r="O3" s="3" t="n">
        <v>5454</v>
      </c>
      <c r="P3" s="4" t="n">
        <v>-0.009900990099009901</v>
      </c>
    </row>
    <row r="4">
      <c r="A4" s="2" t="inlineStr">
        <is>
          <t>Zava Energy</t>
        </is>
      </c>
      <c r="B4" s="3" t="n">
        <v>637.4</v>
      </c>
      <c r="C4" s="3" t="n">
        <v>675.2</v>
      </c>
      <c r="D4" s="3" t="n">
        <v>695.3</v>
      </c>
      <c r="E4" s="3" t="n">
        <v>679.8</v>
      </c>
      <c r="F4" s="3" t="n">
        <v>701.6</v>
      </c>
      <c r="G4" s="3" t="n">
        <v>651.8</v>
      </c>
      <c r="H4" s="3" t="n">
        <v>669.9</v>
      </c>
      <c r="I4" s="3" t="n">
        <v>610</v>
      </c>
      <c r="J4" s="3" t="n">
        <v>627.6</v>
      </c>
      <c r="K4" s="3" t="n">
        <v>581.2</v>
      </c>
      <c r="L4" s="3" t="n">
        <v>579.2</v>
      </c>
      <c r="M4" s="3" t="n">
        <v>591.1</v>
      </c>
      <c r="N4" s="3" t="n">
        <v>7700.1</v>
      </c>
      <c r="O4" s="3" t="n">
        <v>7777</v>
      </c>
      <c r="P4" s="4" t="n">
        <v>-0.009888131670309842</v>
      </c>
    </row>
    <row r="5">
      <c r="A5" s="2" t="inlineStr">
        <is>
          <t>Zava Pharma</t>
        </is>
      </c>
      <c r="B5" s="3" t="n">
        <v>313.9</v>
      </c>
      <c r="C5" s="3" t="n">
        <v>326.3</v>
      </c>
      <c r="D5" s="3" t="n">
        <v>349.5</v>
      </c>
      <c r="E5" s="3" t="n">
        <v>359</v>
      </c>
      <c r="F5" s="3" t="n">
        <v>338.1</v>
      </c>
      <c r="G5" s="3" t="n">
        <v>342.1</v>
      </c>
      <c r="H5" s="3" t="n">
        <v>330.3</v>
      </c>
      <c r="I5" s="3" t="n">
        <v>330.1</v>
      </c>
      <c r="J5" s="3" t="n">
        <v>325.1</v>
      </c>
      <c r="K5" s="3" t="n">
        <v>291</v>
      </c>
      <c r="L5" s="3" t="n">
        <v>302</v>
      </c>
      <c r="M5" s="3" t="n">
        <v>292.6</v>
      </c>
      <c r="N5" s="3" t="n">
        <v>3900</v>
      </c>
      <c r="O5" s="3" t="n">
        <v>3939</v>
      </c>
      <c r="P5" s="4" t="n">
        <v>-0.009900990099009901</v>
      </c>
    </row>
    <row r="6">
      <c r="A6" s="2" t="inlineStr">
        <is>
          <t>Zava Consumer</t>
        </is>
      </c>
      <c r="B6" s="3" t="n">
        <v>392.1</v>
      </c>
      <c r="C6" s="3" t="n">
        <v>411.6</v>
      </c>
      <c r="D6" s="3" t="n">
        <v>414.4</v>
      </c>
      <c r="E6" s="3" t="n">
        <v>415.4</v>
      </c>
      <c r="F6" s="3" t="n">
        <v>395.4</v>
      </c>
      <c r="G6" s="3" t="n">
        <v>389.5</v>
      </c>
      <c r="H6" s="3" t="n">
        <v>382</v>
      </c>
      <c r="I6" s="3" t="n">
        <v>362.1</v>
      </c>
      <c r="J6" s="3" t="n">
        <v>350.8</v>
      </c>
      <c r="K6" s="3" t="n">
        <v>370.3</v>
      </c>
      <c r="L6" s="3" t="n">
        <v>346.6</v>
      </c>
      <c r="M6" s="3" t="n">
        <v>369.9</v>
      </c>
      <c r="N6" s="3" t="n">
        <v>4600.1</v>
      </c>
      <c r="O6" s="3" t="n">
        <v>4646</v>
      </c>
      <c r="P6" s="4" t="n">
        <v>-0.009879466207490237</v>
      </c>
    </row>
    <row r="7">
      <c r="A7" s="5" t="inlineStr">
        <is>
          <t>Group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  <c r="I7" s="3">
        <f>SUM(I2:I6)</f>
        <v/>
      </c>
      <c r="J7" s="3">
        <f>SUM(J2:J6)</f>
        <v/>
      </c>
      <c r="K7" s="3">
        <f>SUM(K2:K6)</f>
        <v/>
      </c>
      <c r="L7" s="3">
        <f>SUM(L2:L6)</f>
        <v/>
      </c>
      <c r="M7" s="3">
        <f>SUM(M2:M6)</f>
        <v/>
      </c>
      <c r="N7" s="3">
        <f>SUM(N2:N6)</f>
        <v/>
      </c>
      <c r="O7" s="3">
        <f>SUM(O2:O6)</f>
        <v/>
      </c>
      <c r="P7" s="4">
        <f>(N7-O7)/O7</f>
        <v/>
      </c>
    </row>
  </sheetData>
  <conditionalFormatting sqref="P2:P7">
    <cfRule type="cellIs" priority="1" operator="lessThan" dxfId="0">
      <formula>-0.02</formula>
    </cfRule>
    <cfRule type="cellIs" priority="2" operator="between" dxfId="1">
      <formula>-0.02</formula>
      <formula>0.01</formula>
    </cfRule>
    <cfRule type="cellIs" priority="3" operator="greaterThanOrEqual" dxfId="2">
      <formula>0.01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Division</t>
        </is>
      </c>
      <c r="B1" s="1" t="inlineStr">
        <is>
          <t>Jul-25</t>
        </is>
      </c>
      <c r="C1" s="1" t="inlineStr">
        <is>
          <t>Aug-25</t>
        </is>
      </c>
      <c r="D1" s="1" t="inlineStr">
        <is>
          <t>Sep-25</t>
        </is>
      </c>
      <c r="E1" s="1" t="inlineStr">
        <is>
          <t>Oct-25</t>
        </is>
      </c>
      <c r="F1" s="1" t="inlineStr">
        <is>
          <t>Nov-25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  <c r="M1" s="1" t="inlineStr">
        <is>
          <t>Jun-26</t>
        </is>
      </c>
      <c r="N1" s="1" t="inlineStr">
        <is>
          <t>YTD</t>
        </is>
      </c>
      <c r="O1" s="1" t="inlineStr">
        <is>
          <t>Target</t>
        </is>
      </c>
      <c r="P1" s="1" t="inlineStr">
        <is>
          <t>Variance %</t>
        </is>
      </c>
    </row>
    <row r="2">
      <c r="A2" s="2" t="inlineStr">
        <is>
          <t>Zava Bank</t>
        </is>
      </c>
      <c r="B2" s="4" t="n">
        <v>0.2827329531132298</v>
      </c>
      <c r="C2" s="4" t="n">
        <v>0.2830825331664659</v>
      </c>
      <c r="D2" s="4" t="n">
        <v>0.2863815270024085</v>
      </c>
      <c r="E2" s="4" t="n">
        <v>0.2812227664108382</v>
      </c>
      <c r="F2" s="4" t="n">
        <v>0.2728164304761351</v>
      </c>
      <c r="G2" s="4" t="n">
        <v>0.2757450116689539</v>
      </c>
      <c r="H2" s="4" t="n">
        <v>0.2738346254835376</v>
      </c>
      <c r="I2" s="4" t="n">
        <v>0.2652480090131102</v>
      </c>
      <c r="J2" s="4" t="n">
        <v>0.2655310191118256</v>
      </c>
      <c r="K2" s="4" t="n">
        <v>0.2780951602404044</v>
      </c>
      <c r="L2" s="4" t="n">
        <v>0.2770186891089696</v>
      </c>
      <c r="M2" s="4" t="n">
        <v>0.2878111476758835</v>
      </c>
      <c r="N2" s="4" t="n">
        <v>0.2774599893726469</v>
      </c>
      <c r="O2" s="4" t="n">
        <v>0.275</v>
      </c>
      <c r="P2" s="4" t="n">
        <v>0.002459989372646854</v>
      </c>
    </row>
    <row r="3">
      <c r="A3" s="2" t="inlineStr">
        <is>
          <t>Zava Plantations</t>
        </is>
      </c>
      <c r="B3" s="4" t="n">
        <v>0.1839221306984964</v>
      </c>
      <c r="C3" s="4" t="n">
        <v>0.1886760421477693</v>
      </c>
      <c r="D3" s="4" t="n">
        <v>0.1804636893376209</v>
      </c>
      <c r="E3" s="4" t="n">
        <v>0.1829958883299508</v>
      </c>
      <c r="F3" s="4" t="n">
        <v>0.188600658649632</v>
      </c>
      <c r="G3" s="4" t="n">
        <v>0.1698452314828952</v>
      </c>
      <c r="H3" s="4" t="n">
        <v>0.1694871236979099</v>
      </c>
      <c r="I3" s="4" t="n">
        <v>0.1793384461534289</v>
      </c>
      <c r="J3" s="4" t="n">
        <v>0.1760403717155404</v>
      </c>
      <c r="K3" s="4" t="n">
        <v>0.179301779661536</v>
      </c>
      <c r="L3" s="4" t="n">
        <v>0.1705638037889951</v>
      </c>
      <c r="M3" s="4" t="n">
        <v>0.1730809141856912</v>
      </c>
      <c r="N3" s="4" t="n">
        <v>0.1785263399874555</v>
      </c>
      <c r="O3" s="4" t="n">
        <v>0.185</v>
      </c>
      <c r="P3" s="4" t="n">
        <v>-0.006473660012544485</v>
      </c>
    </row>
    <row r="4">
      <c r="A4" s="2" t="inlineStr">
        <is>
          <t>Zava Energy</t>
        </is>
      </c>
      <c r="B4" s="4" t="n">
        <v>0.1484143578851689</v>
      </c>
      <c r="C4" s="4" t="n">
        <v>0.1606607353773923</v>
      </c>
      <c r="D4" s="4" t="n">
        <v>0.146844517062933</v>
      </c>
      <c r="E4" s="4" t="n">
        <v>0.146543857519272</v>
      </c>
      <c r="F4" s="4" t="n">
        <v>0.1623884506402478</v>
      </c>
      <c r="G4" s="4" t="n">
        <v>0.1562105968700291</v>
      </c>
      <c r="H4" s="4" t="n">
        <v>0.146597887930719</v>
      </c>
      <c r="I4" s="4" t="n">
        <v>0.1686217715961105</v>
      </c>
      <c r="J4" s="4" t="n">
        <v>0.1578259015082474</v>
      </c>
      <c r="K4" s="4" t="n">
        <v>0.1685415424409826</v>
      </c>
      <c r="L4" s="4" t="n">
        <v>0.1616167023433646</v>
      </c>
      <c r="M4" s="4" t="n">
        <v>0.1591779106081385</v>
      </c>
      <c r="N4" s="4" t="n">
        <v>0.1569536859818838</v>
      </c>
      <c r="O4" s="4" t="n">
        <v>0.162</v>
      </c>
      <c r="P4" s="4" t="n">
        <v>-0.005046314018116199</v>
      </c>
    </row>
    <row r="5">
      <c r="A5" s="2" t="inlineStr">
        <is>
          <t>Zava Pharma</t>
        </is>
      </c>
      <c r="B5" s="4" t="n">
        <v>0.2114924164871533</v>
      </c>
      <c r="C5" s="4" t="n">
        <v>0.2044226637490153</v>
      </c>
      <c r="D5" s="4" t="n">
        <v>0.2251869449794701</v>
      </c>
      <c r="E5" s="4" t="n">
        <v>0.2125591108437575</v>
      </c>
      <c r="F5" s="4" t="n">
        <v>0.2093546621431776</v>
      </c>
      <c r="G5" s="4" t="n">
        <v>0.2054991825935204</v>
      </c>
      <c r="H5" s="4" t="n">
        <v>0.2163063961375067</v>
      </c>
      <c r="I5" s="4" t="n">
        <v>0.2256052213810449</v>
      </c>
      <c r="J5" s="4" t="n">
        <v>0.2116516656011626</v>
      </c>
      <c r="K5" s="4" t="n">
        <v>0.2213770684378711</v>
      </c>
      <c r="L5" s="4" t="n">
        <v>0.2188038917138854</v>
      </c>
      <c r="M5" s="4" t="n">
        <v>0.2143702361249963</v>
      </c>
      <c r="N5" s="4" t="n">
        <v>0.2147191216827134</v>
      </c>
      <c r="O5" s="4" t="n">
        <v>0.214</v>
      </c>
      <c r="P5" s="4" t="n">
        <v>0.0007191216827134306</v>
      </c>
    </row>
    <row r="6">
      <c r="A6" s="2" t="inlineStr">
        <is>
          <t>Zava Consumer</t>
        </is>
      </c>
      <c r="B6" s="4" t="n">
        <v>0.1332480298196024</v>
      </c>
      <c r="C6" s="4" t="n">
        <v>0.1351439158393775</v>
      </c>
      <c r="D6" s="4" t="n">
        <v>0.1398476474121921</v>
      </c>
      <c r="E6" s="4" t="n">
        <v>0.1186266674238998</v>
      </c>
      <c r="F6" s="4" t="n">
        <v>0.1210196855575508</v>
      </c>
      <c r="G6" s="4" t="n">
        <v>0.1233840059417584</v>
      </c>
      <c r="H6" s="4" t="n">
        <v>0.1191823846853466</v>
      </c>
      <c r="I6" s="4" t="n">
        <v>0.1243147634048095</v>
      </c>
      <c r="J6" s="4" t="n">
        <v>0.1280169467968255</v>
      </c>
      <c r="K6" s="4" t="n">
        <v>0.1228085325138969</v>
      </c>
      <c r="L6" s="4" t="n">
        <v>0.1295540524350593</v>
      </c>
      <c r="M6" s="4" t="n">
        <v>0.1177293250104563</v>
      </c>
      <c r="N6" s="4" t="n">
        <v>0.1260729964033979</v>
      </c>
      <c r="O6" s="4" t="n">
        <v>0.135</v>
      </c>
      <c r="P6" s="4" t="n">
        <v>-0.00892700359660209</v>
      </c>
    </row>
    <row r="7">
      <c r="A7" s="5" t="inlineStr">
        <is>
          <t>Group weighted avg</t>
        </is>
      </c>
      <c r="B7" s="4">
        <f>AVERAGE(B2:B6)</f>
        <v/>
      </c>
      <c r="C7" s="4">
        <f>AVERAGE(C2:C6)</f>
        <v/>
      </c>
      <c r="D7" s="4">
        <f>AVERAGE(D2:D6)</f>
        <v/>
      </c>
      <c r="E7" s="4">
        <f>AVERAGE(E2:E6)</f>
        <v/>
      </c>
      <c r="F7" s="4">
        <f>AVERAGE(F2:F6)</f>
        <v/>
      </c>
      <c r="G7" s="4">
        <f>AVERAGE(G2:G6)</f>
        <v/>
      </c>
      <c r="H7" s="4">
        <f>AVERAGE(H2:H6)</f>
        <v/>
      </c>
      <c r="I7" s="4">
        <f>AVERAGE(I2:I6)</f>
        <v/>
      </c>
      <c r="J7" s="4">
        <f>AVERAGE(J2:J6)</f>
        <v/>
      </c>
      <c r="K7" s="4">
        <f>AVERAGE(K2:K6)</f>
        <v/>
      </c>
      <c r="L7" s="4">
        <f>AVERAGE(L2:L6)</f>
        <v/>
      </c>
      <c r="M7" s="4">
        <f>AVERAGE(M2:M6)</f>
        <v/>
      </c>
      <c r="N7" s="4">
        <f>AVERAGE(N2:N6)</f>
        <v/>
      </c>
      <c r="O7" s="4">
        <f>AVERAGE(O2:O6)</f>
        <v/>
      </c>
      <c r="P7" s="4">
        <f>N7-O7</f>
        <v/>
      </c>
    </row>
  </sheetData>
  <conditionalFormatting sqref="P2:P7">
    <cfRule type="cellIs" priority="1" operator="lessThan" dxfId="0">
      <formula>-0.02</formula>
    </cfRule>
    <cfRule type="cellIs" priority="2" operator="between" dxfId="1">
      <formula>-0.02</formula>
      <formula>0.01</formula>
    </cfRule>
    <cfRule type="cellIs" priority="3" operator="greaterThanOrEqual" dxfId="2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Division</t>
        </is>
      </c>
      <c r="B1" s="1" t="inlineStr">
        <is>
          <t>Jul-25</t>
        </is>
      </c>
      <c r="C1" s="1" t="inlineStr">
        <is>
          <t>Aug-25</t>
        </is>
      </c>
      <c r="D1" s="1" t="inlineStr">
        <is>
          <t>Sep-25</t>
        </is>
      </c>
      <c r="E1" s="1" t="inlineStr">
        <is>
          <t>Oct-25</t>
        </is>
      </c>
      <c r="F1" s="1" t="inlineStr">
        <is>
          <t>Nov-25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  <c r="M1" s="1" t="inlineStr">
        <is>
          <t>Jun-26</t>
        </is>
      </c>
      <c r="N1" s="1" t="inlineStr">
        <is>
          <t>YTD</t>
        </is>
      </c>
      <c r="O1" s="1" t="inlineStr">
        <is>
          <t>Target</t>
        </is>
      </c>
      <c r="P1" s="1" t="inlineStr">
        <is>
          <t>Variance %</t>
        </is>
      </c>
    </row>
    <row r="2">
      <c r="A2" s="2" t="inlineStr">
        <is>
          <t>Zava Bank</t>
        </is>
      </c>
      <c r="B2" s="4" t="n">
        <v>0.1316977996298176</v>
      </c>
      <c r="C2" s="4" t="n">
        <v>0.1269127439552403</v>
      </c>
      <c r="D2" s="4" t="n">
        <v>0.1122500209962512</v>
      </c>
      <c r="E2" s="4" t="n">
        <v>0.1148767011657125</v>
      </c>
      <c r="F2" s="4" t="n">
        <v>0.1279459415964933</v>
      </c>
      <c r="G2" s="4" t="n">
        <v>0.1131891052040426</v>
      </c>
      <c r="H2" s="4" t="n">
        <v>0.1273840447421032</v>
      </c>
      <c r="I2" s="4" t="n">
        <v>0.1106706222344312</v>
      </c>
      <c r="J2" s="4" t="n">
        <v>0.1246910780731596</v>
      </c>
      <c r="K2" s="4" t="n">
        <v>0.1260954440457595</v>
      </c>
      <c r="L2" s="4" t="n">
        <v>0.1227567735722436</v>
      </c>
      <c r="M2" s="4" t="n">
        <v>0.128833526413512</v>
      </c>
      <c r="N2" s="4" t="n">
        <v>0.1222753168023972</v>
      </c>
      <c r="O2" s="4" t="n">
        <v>0.118</v>
      </c>
      <c r="P2" s="4" t="n">
        <v>0.004275316802397219</v>
      </c>
    </row>
    <row r="3">
      <c r="A3" s="2" t="inlineStr">
        <is>
          <t>Zava Plantations</t>
        </is>
      </c>
      <c r="B3" s="4" t="n">
        <v>0.1101946354459258</v>
      </c>
      <c r="C3" s="4" t="n">
        <v>0.1112896752662976</v>
      </c>
      <c r="D3" s="4" t="n">
        <v>0.0889196993417147</v>
      </c>
      <c r="E3" s="4" t="n">
        <v>0.09927376377329553</v>
      </c>
      <c r="F3" s="4" t="n">
        <v>0.09042921814905056</v>
      </c>
      <c r="G3" s="4" t="n">
        <v>0.1055045466158706</v>
      </c>
      <c r="H3" s="4" t="n">
        <v>0.09258538212617901</v>
      </c>
      <c r="I3" s="4" t="n">
        <v>0.09167053854695123</v>
      </c>
      <c r="J3" s="4" t="n">
        <v>0.08906720584568223</v>
      </c>
      <c r="K3" s="4" t="n">
        <v>0.08801836587541476</v>
      </c>
      <c r="L3" s="4" t="n">
        <v>0.09391846380221837</v>
      </c>
      <c r="M3" s="4" t="n">
        <v>0.09233015622904674</v>
      </c>
      <c r="N3" s="4" t="n">
        <v>0.09610013758480392</v>
      </c>
      <c r="O3" s="4" t="n">
        <v>0.096</v>
      </c>
      <c r="P3" s="4" t="n">
        <v>0.0001001375848039138</v>
      </c>
    </row>
    <row r="4">
      <c r="A4" s="2" t="inlineStr">
        <is>
          <t>Zava Energy</t>
        </is>
      </c>
      <c r="B4" s="4" t="n">
        <v>0.08398746998462824</v>
      </c>
      <c r="C4" s="4" t="n">
        <v>0.09108528975631361</v>
      </c>
      <c r="D4" s="4" t="n">
        <v>0.08872205402794812</v>
      </c>
      <c r="E4" s="4" t="n">
        <v>0.07919979064551139</v>
      </c>
      <c r="F4" s="4" t="n">
        <v>0.07756173373445993</v>
      </c>
      <c r="G4" s="4" t="n">
        <v>0.09011233742682709</v>
      </c>
      <c r="H4" s="4" t="n">
        <v>0.07802413300401038</v>
      </c>
      <c r="I4" s="4" t="n">
        <v>0.08697240756683186</v>
      </c>
      <c r="J4" s="4" t="n">
        <v>0.09470968212890871</v>
      </c>
      <c r="K4" s="4" t="n">
        <v>0.08534577592620469</v>
      </c>
      <c r="L4" s="4" t="n">
        <v>0.08276578571079821</v>
      </c>
      <c r="M4" s="4" t="n">
        <v>0.07259648653353366</v>
      </c>
      <c r="N4" s="4" t="n">
        <v>0.08425691220383132</v>
      </c>
      <c r="O4" s="4" t="n">
        <v>0.08699999999999999</v>
      </c>
      <c r="P4" s="4" t="n">
        <v>-0.002743087796168678</v>
      </c>
    </row>
    <row r="5">
      <c r="A5" s="2" t="inlineStr">
        <is>
          <t>Zava Pharma</t>
        </is>
      </c>
      <c r="B5" s="4" t="n">
        <v>0.1211163485641961</v>
      </c>
      <c r="C5" s="4" t="n">
        <v>0.1376146422286002</v>
      </c>
      <c r="D5" s="4" t="n">
        <v>0.1161988765669759</v>
      </c>
      <c r="E5" s="4" t="n">
        <v>0.1161318119032898</v>
      </c>
      <c r="F5" s="4" t="n">
        <v>0.1292985200388891</v>
      </c>
      <c r="G5" s="4" t="n">
        <v>0.122217389246069</v>
      </c>
      <c r="H5" s="4" t="n">
        <v>0.1292045498293074</v>
      </c>
      <c r="I5" s="4" t="n">
        <v>0.120411124927073</v>
      </c>
      <c r="J5" s="4" t="n">
        <v>0.1201094475080971</v>
      </c>
      <c r="K5" s="4" t="n">
        <v>0.1208800136024836</v>
      </c>
      <c r="L5" s="4" t="n">
        <v>0.1319763178251153</v>
      </c>
      <c r="M5" s="4" t="n">
        <v>0.1314898400663397</v>
      </c>
      <c r="N5" s="4" t="n">
        <v>0.124720740192203</v>
      </c>
      <c r="O5" s="4" t="n">
        <v>0.124</v>
      </c>
      <c r="P5" s="4" t="n">
        <v>0.0007207401922030288</v>
      </c>
    </row>
    <row r="6">
      <c r="A6" s="2" t="inlineStr">
        <is>
          <t>Zava Consumer</t>
        </is>
      </c>
      <c r="B6" s="4" t="n">
        <v>0.09070257580510127</v>
      </c>
      <c r="C6" s="4" t="n">
        <v>0.1070468365058356</v>
      </c>
      <c r="D6" s="4" t="n">
        <v>0.1083277844097385</v>
      </c>
      <c r="E6" s="4" t="n">
        <v>0.1012587004366175</v>
      </c>
      <c r="F6" s="4" t="n">
        <v>0.0922994232599981</v>
      </c>
      <c r="G6" s="4" t="n">
        <v>0.09034711071851224</v>
      </c>
      <c r="H6" s="4" t="n">
        <v>0.1135222596979626</v>
      </c>
      <c r="I6" s="4" t="n">
        <v>0.0924161975221978</v>
      </c>
      <c r="J6" s="4" t="n">
        <v>0.0900535318740343</v>
      </c>
      <c r="K6" s="4" t="n">
        <v>0.09147542145527235</v>
      </c>
      <c r="L6" s="4" t="n">
        <v>0.111826854364291</v>
      </c>
      <c r="M6" s="4" t="n">
        <v>0.114002319693718</v>
      </c>
      <c r="N6" s="4" t="n">
        <v>0.1002732513119399</v>
      </c>
      <c r="O6" s="4" t="n">
        <v>0.101</v>
      </c>
      <c r="P6" s="4" t="n">
        <v>-0.0007267486880600665</v>
      </c>
    </row>
    <row r="7">
      <c r="A7" s="5" t="inlineStr">
        <is>
          <t>Group weighted avg</t>
        </is>
      </c>
      <c r="B7" s="4">
        <f>AVERAGE(B2:B6)</f>
        <v/>
      </c>
      <c r="C7" s="4">
        <f>AVERAGE(C2:C6)</f>
        <v/>
      </c>
      <c r="D7" s="4">
        <f>AVERAGE(D2:D6)</f>
        <v/>
      </c>
      <c r="E7" s="4">
        <f>AVERAGE(E2:E6)</f>
        <v/>
      </c>
      <c r="F7" s="4">
        <f>AVERAGE(F2:F6)</f>
        <v/>
      </c>
      <c r="G7" s="4">
        <f>AVERAGE(G2:G6)</f>
        <v/>
      </c>
      <c r="H7" s="4">
        <f>AVERAGE(H2:H6)</f>
        <v/>
      </c>
      <c r="I7" s="4">
        <f>AVERAGE(I2:I6)</f>
        <v/>
      </c>
      <c r="J7" s="4">
        <f>AVERAGE(J2:J6)</f>
        <v/>
      </c>
      <c r="K7" s="4">
        <f>AVERAGE(K2:K6)</f>
        <v/>
      </c>
      <c r="L7" s="4">
        <f>AVERAGE(L2:L6)</f>
        <v/>
      </c>
      <c r="M7" s="4">
        <f>AVERAGE(M2:M6)</f>
        <v/>
      </c>
      <c r="N7" s="4">
        <f>AVERAGE(N2:N6)</f>
        <v/>
      </c>
      <c r="O7" s="4">
        <f>AVERAGE(O2:O6)</f>
        <v/>
      </c>
      <c r="P7" s="4">
        <f>N7-O7</f>
        <v/>
      </c>
    </row>
  </sheetData>
  <conditionalFormatting sqref="P2:P7">
    <cfRule type="cellIs" priority="1" operator="lessThan" dxfId="0">
      <formula>-0.02</formula>
    </cfRule>
    <cfRule type="cellIs" priority="2" operator="between" dxfId="1">
      <formula>-0.02</formula>
      <formula>0.01</formula>
    </cfRule>
    <cfRule type="cellIs" priority="3" operator="greaterThanOrEqual" dxfId="2">
      <formula>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Division</t>
        </is>
      </c>
      <c r="B1" s="1" t="inlineStr">
        <is>
          <t>Jul-25</t>
        </is>
      </c>
      <c r="C1" s="1" t="inlineStr">
        <is>
          <t>Aug-25</t>
        </is>
      </c>
      <c r="D1" s="1" t="inlineStr">
        <is>
          <t>Sep-25</t>
        </is>
      </c>
      <c r="E1" s="1" t="inlineStr">
        <is>
          <t>Oct-25</t>
        </is>
      </c>
      <c r="F1" s="1" t="inlineStr">
        <is>
          <t>Nov-25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  <c r="M1" s="1" t="inlineStr">
        <is>
          <t>Jun-26</t>
        </is>
      </c>
      <c r="N1" s="1" t="inlineStr">
        <is>
          <t>YTD</t>
        </is>
      </c>
      <c r="O1" s="1" t="inlineStr">
        <is>
          <t>Target</t>
        </is>
      </c>
      <c r="P1" s="1" t="inlineStr">
        <is>
          <t>Variance %</t>
        </is>
      </c>
    </row>
    <row r="2">
      <c r="A2" s="2" t="inlineStr">
        <is>
          <t>Zava Bank</t>
        </is>
      </c>
      <c r="B2" s="3" t="n">
        <v>111.1</v>
      </c>
      <c r="C2" s="3" t="n">
        <v>116.9</v>
      </c>
      <c r="D2" s="3" t="n">
        <v>118.7</v>
      </c>
      <c r="E2" s="3" t="n">
        <v>113</v>
      </c>
      <c r="F2" s="3" t="n">
        <v>115.6</v>
      </c>
      <c r="G2" s="3" t="n">
        <v>116</v>
      </c>
      <c r="H2" s="3" t="n">
        <v>112.9</v>
      </c>
      <c r="I2" s="3" t="n">
        <v>109.5</v>
      </c>
      <c r="J2" s="3" t="n">
        <v>105.1</v>
      </c>
      <c r="K2" s="3" t="n">
        <v>96.90000000000001</v>
      </c>
      <c r="L2" s="3" t="n">
        <v>98.90000000000001</v>
      </c>
      <c r="M2" s="3" t="n">
        <v>105.4</v>
      </c>
      <c r="N2" s="3" t="n">
        <v>1320</v>
      </c>
      <c r="O2" s="3" t="n">
        <v>1267.2</v>
      </c>
      <c r="P2" s="4" t="n">
        <v>0.04166666666666663</v>
      </c>
    </row>
    <row r="3">
      <c r="A3" s="2" t="inlineStr">
        <is>
          <t>Zava Plantations</t>
        </is>
      </c>
      <c r="B3" s="3" t="n">
        <v>59.8</v>
      </c>
      <c r="C3" s="3" t="n">
        <v>59.5</v>
      </c>
      <c r="D3" s="3" t="n">
        <v>62.4</v>
      </c>
      <c r="E3" s="3" t="n">
        <v>66.09999999999999</v>
      </c>
      <c r="F3" s="3" t="n">
        <v>62.2</v>
      </c>
      <c r="G3" s="3" t="n">
        <v>60.1</v>
      </c>
      <c r="H3" s="3" t="n">
        <v>62</v>
      </c>
      <c r="I3" s="3" t="n">
        <v>58.9</v>
      </c>
      <c r="J3" s="3" t="n">
        <v>55.4</v>
      </c>
      <c r="K3" s="3" t="n">
        <v>54.5</v>
      </c>
      <c r="L3" s="3" t="n">
        <v>53.1</v>
      </c>
      <c r="M3" s="3" t="n">
        <v>55.9</v>
      </c>
      <c r="N3" s="3" t="n">
        <v>709.9</v>
      </c>
      <c r="O3" s="3" t="n">
        <v>681.6</v>
      </c>
      <c r="P3" s="4" t="n">
        <v>0.04151995305164313</v>
      </c>
    </row>
    <row r="4">
      <c r="A4" s="2" t="inlineStr">
        <is>
          <t>Zava Energy</t>
        </is>
      </c>
      <c r="B4" s="3" t="n">
        <v>97</v>
      </c>
      <c r="C4" s="3" t="n">
        <v>102.8</v>
      </c>
      <c r="D4" s="3" t="n">
        <v>109</v>
      </c>
      <c r="E4" s="3" t="n">
        <v>108</v>
      </c>
      <c r="F4" s="3" t="n">
        <v>104.9</v>
      </c>
      <c r="G4" s="3" t="n">
        <v>101</v>
      </c>
      <c r="H4" s="3" t="n">
        <v>101</v>
      </c>
      <c r="I4" s="3" t="n">
        <v>93.2</v>
      </c>
      <c r="J4" s="3" t="n">
        <v>96.3</v>
      </c>
      <c r="K4" s="3" t="n">
        <v>91.3</v>
      </c>
      <c r="L4" s="3" t="n">
        <v>90.40000000000001</v>
      </c>
      <c r="M4" s="3" t="n">
        <v>90.09999999999999</v>
      </c>
      <c r="N4" s="3" t="n">
        <v>1185</v>
      </c>
      <c r="O4" s="3" t="n">
        <v>1137.6</v>
      </c>
      <c r="P4" s="4" t="n">
        <v>0.04166666666666675</v>
      </c>
    </row>
    <row r="5">
      <c r="A5" s="2" t="inlineStr">
        <is>
          <t>Zava Pharma</t>
        </is>
      </c>
      <c r="B5" s="3" t="n">
        <v>52.3</v>
      </c>
      <c r="C5" s="3" t="n">
        <v>53</v>
      </c>
      <c r="D5" s="3" t="n">
        <v>54.4</v>
      </c>
      <c r="E5" s="3" t="n">
        <v>54.1</v>
      </c>
      <c r="F5" s="3" t="n">
        <v>53.3</v>
      </c>
      <c r="G5" s="3" t="n">
        <v>52.2</v>
      </c>
      <c r="H5" s="3" t="n">
        <v>51.3</v>
      </c>
      <c r="I5" s="3" t="n">
        <v>51.7</v>
      </c>
      <c r="J5" s="3" t="n">
        <v>49.6</v>
      </c>
      <c r="K5" s="3" t="n">
        <v>46.2</v>
      </c>
      <c r="L5" s="3" t="n">
        <v>45.1</v>
      </c>
      <c r="M5" s="3" t="n">
        <v>46.7</v>
      </c>
      <c r="N5" s="3" t="n">
        <v>609.9</v>
      </c>
      <c r="O5" s="3" t="n">
        <v>585.6</v>
      </c>
      <c r="P5" s="4" t="n">
        <v>0.04149590163934418</v>
      </c>
    </row>
    <row r="6">
      <c r="A6" s="2" t="inlineStr">
        <is>
          <t>Zava Consumer</t>
        </is>
      </c>
      <c r="B6" s="3" t="n">
        <v>63.4</v>
      </c>
      <c r="C6" s="3" t="n">
        <v>63.2</v>
      </c>
      <c r="D6" s="3" t="n">
        <v>66.2</v>
      </c>
      <c r="E6" s="3" t="n">
        <v>65.09999999999999</v>
      </c>
      <c r="F6" s="3" t="n">
        <v>68.7</v>
      </c>
      <c r="G6" s="3" t="n">
        <v>66.2</v>
      </c>
      <c r="H6" s="3" t="n">
        <v>63.4</v>
      </c>
      <c r="I6" s="3" t="n">
        <v>64.09999999999999</v>
      </c>
      <c r="J6" s="3" t="n">
        <v>59.3</v>
      </c>
      <c r="K6" s="3" t="n">
        <v>56.5</v>
      </c>
      <c r="L6" s="3" t="n">
        <v>58.4</v>
      </c>
      <c r="M6" s="3" t="n">
        <v>60.5</v>
      </c>
      <c r="N6" s="3" t="n">
        <v>755</v>
      </c>
      <c r="O6" s="3" t="n">
        <v>724.8</v>
      </c>
      <c r="P6" s="4" t="n">
        <v>0.04166666666666673</v>
      </c>
    </row>
    <row r="7">
      <c r="A7" s="5" t="inlineStr">
        <is>
          <t>Group</t>
        </is>
      </c>
      <c r="B7" s="3">
        <f>SUM(B2:B6)</f>
        <v/>
      </c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  <c r="I7" s="3">
        <f>SUM(I2:I6)</f>
        <v/>
      </c>
      <c r="J7" s="3">
        <f>SUM(J2:J6)</f>
        <v/>
      </c>
      <c r="K7" s="3">
        <f>SUM(K2:K6)</f>
        <v/>
      </c>
      <c r="L7" s="3">
        <f>SUM(L2:L6)</f>
        <v/>
      </c>
      <c r="M7" s="3">
        <f>SUM(M2:M6)</f>
        <v/>
      </c>
      <c r="N7" s="3">
        <f>SUM(N2:N6)</f>
        <v/>
      </c>
      <c r="O7" s="3">
        <f>SUM(O2:O6)</f>
        <v/>
      </c>
      <c r="P7" s="4">
        <f>(N7-O7)/O7</f>
        <v/>
      </c>
    </row>
  </sheetData>
  <conditionalFormatting sqref="P2:P7">
    <cfRule type="cellIs" priority="1" operator="lessThan" dxfId="0">
      <formula>-0.02</formula>
    </cfRule>
    <cfRule type="cellIs" priority="2" operator="between" dxfId="1">
      <formula>-0.02</formula>
      <formula>0.01</formula>
    </cfRule>
    <cfRule type="cellIs" priority="3" operator="greaterThanOrEqual" dxfId="2"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Division</t>
        </is>
      </c>
      <c r="B1" s="1" t="inlineStr">
        <is>
          <t>Jul-25</t>
        </is>
      </c>
      <c r="C1" s="1" t="inlineStr">
        <is>
          <t>Aug-25</t>
        </is>
      </c>
      <c r="D1" s="1" t="inlineStr">
        <is>
          <t>Sep-25</t>
        </is>
      </c>
      <c r="E1" s="1" t="inlineStr">
        <is>
          <t>Oct-25</t>
        </is>
      </c>
      <c r="F1" s="1" t="inlineStr">
        <is>
          <t>Nov-25</t>
        </is>
      </c>
      <c r="G1" s="1" t="inlineStr">
        <is>
          <t>Dec-25</t>
        </is>
      </c>
      <c r="H1" s="1" t="inlineStr">
        <is>
          <t>Jan-26</t>
        </is>
      </c>
      <c r="I1" s="1" t="inlineStr">
        <is>
          <t>Feb-26</t>
        </is>
      </c>
      <c r="J1" s="1" t="inlineStr">
        <is>
          <t>Mar-26</t>
        </is>
      </c>
      <c r="K1" s="1" t="inlineStr">
        <is>
          <t>Apr-26</t>
        </is>
      </c>
      <c r="L1" s="1" t="inlineStr">
        <is>
          <t>May-26</t>
        </is>
      </c>
      <c r="M1" s="1" t="inlineStr">
        <is>
          <t>Jun-26</t>
        </is>
      </c>
      <c r="N1" s="1" t="inlineStr">
        <is>
          <t>YTD</t>
        </is>
      </c>
      <c r="O1" s="1" t="inlineStr">
        <is>
          <t>Target</t>
        </is>
      </c>
      <c r="P1" s="1" t="inlineStr">
        <is>
          <t>Variance %</t>
        </is>
      </c>
    </row>
    <row r="2">
      <c r="A2" s="2" t="inlineStr">
        <is>
          <t>Zava Bank</t>
        </is>
      </c>
      <c r="B2" s="6" t="n">
        <v>284.5</v>
      </c>
      <c r="C2" s="6" t="n">
        <v>302.4</v>
      </c>
      <c r="D2" s="6" t="n">
        <v>301</v>
      </c>
      <c r="E2" s="6" t="n">
        <v>298.5</v>
      </c>
      <c r="F2" s="6" t="n">
        <v>306.2</v>
      </c>
      <c r="G2" s="6" t="n">
        <v>285.9</v>
      </c>
      <c r="H2" s="6" t="n">
        <v>300</v>
      </c>
      <c r="I2" s="6" t="n">
        <v>277.1</v>
      </c>
      <c r="J2" s="6" t="n">
        <v>255.6</v>
      </c>
      <c r="K2" s="6" t="n">
        <v>255.9</v>
      </c>
      <c r="L2" s="6" t="n">
        <v>262</v>
      </c>
      <c r="M2" s="6" t="n">
        <v>270.9</v>
      </c>
      <c r="N2" s="6" t="n">
        <v>3400</v>
      </c>
      <c r="O2" s="6" t="n">
        <v>3366</v>
      </c>
      <c r="P2" s="4" t="n">
        <v>0.0101010101010101</v>
      </c>
    </row>
    <row r="3">
      <c r="A3" s="2" t="inlineStr">
        <is>
          <t>Zava Plantations</t>
        </is>
      </c>
      <c r="B3" s="6" t="n">
        <v>444.8</v>
      </c>
      <c r="C3" s="6" t="n">
        <v>439.2</v>
      </c>
      <c r="D3" s="6" t="n">
        <v>471.8</v>
      </c>
      <c r="E3" s="6" t="n">
        <v>462.9</v>
      </c>
      <c r="F3" s="6" t="n">
        <v>463.9</v>
      </c>
      <c r="G3" s="6" t="n">
        <v>466.6</v>
      </c>
      <c r="H3" s="6" t="n">
        <v>446.6</v>
      </c>
      <c r="I3" s="6" t="n">
        <v>424.7</v>
      </c>
      <c r="J3" s="6" t="n">
        <v>388.8</v>
      </c>
      <c r="K3" s="6" t="n">
        <v>391.2</v>
      </c>
      <c r="L3" s="6" t="n">
        <v>403.8</v>
      </c>
      <c r="M3" s="6" t="n">
        <v>395.7</v>
      </c>
      <c r="N3" s="6" t="n">
        <v>5200</v>
      </c>
      <c r="O3" s="6" t="n">
        <v>5148</v>
      </c>
      <c r="P3" s="4" t="n">
        <v>0.0101010101010101</v>
      </c>
    </row>
    <row r="4">
      <c r="A4" s="2" t="inlineStr">
        <is>
          <t>Zava Energy</t>
        </is>
      </c>
      <c r="B4" s="6" t="n">
        <v>115</v>
      </c>
      <c r="C4" s="6" t="n">
        <v>128.4</v>
      </c>
      <c r="D4" s="6" t="n">
        <v>126.5</v>
      </c>
      <c r="E4" s="6" t="n">
        <v>132.2</v>
      </c>
      <c r="F4" s="6" t="n">
        <v>127.6</v>
      </c>
      <c r="G4" s="6" t="n">
        <v>125.3</v>
      </c>
      <c r="H4" s="6" t="n">
        <v>123.8</v>
      </c>
      <c r="I4" s="6" t="n">
        <v>118.5</v>
      </c>
      <c r="J4" s="6" t="n">
        <v>118.8</v>
      </c>
      <c r="K4" s="6" t="n">
        <v>112.3</v>
      </c>
      <c r="L4" s="6" t="n">
        <v>109</v>
      </c>
      <c r="M4" s="6" t="n">
        <v>112.4</v>
      </c>
      <c r="N4" s="6" t="n">
        <v>1449.8</v>
      </c>
      <c r="O4" s="6" t="n">
        <v>1435.5</v>
      </c>
      <c r="P4" s="4" t="n">
        <v>0.009961685823754757</v>
      </c>
    </row>
    <row r="5">
      <c r="A5" s="2" t="inlineStr">
        <is>
          <t>Zava Pharma</t>
        </is>
      </c>
      <c r="B5" s="6" t="n">
        <v>83.09999999999999</v>
      </c>
      <c r="C5" s="6" t="n">
        <v>85.90000000000001</v>
      </c>
      <c r="D5" s="6" t="n">
        <v>83</v>
      </c>
      <c r="E5" s="6" t="n">
        <v>87.8</v>
      </c>
      <c r="F5" s="6" t="n">
        <v>90.2</v>
      </c>
      <c r="G5" s="6" t="n">
        <v>85.5</v>
      </c>
      <c r="H5" s="6" t="n">
        <v>80.59999999999999</v>
      </c>
      <c r="I5" s="6" t="n">
        <v>77.40000000000001</v>
      </c>
      <c r="J5" s="6" t="n">
        <v>77.5</v>
      </c>
      <c r="K5" s="6" t="n">
        <v>77.59999999999999</v>
      </c>
      <c r="L5" s="6" t="n">
        <v>76.7</v>
      </c>
      <c r="M5" s="6" t="n">
        <v>74.8</v>
      </c>
      <c r="N5" s="6" t="n">
        <v>980.1</v>
      </c>
      <c r="O5" s="6" t="n">
        <v>970.2</v>
      </c>
      <c r="P5" s="4" t="n">
        <v>0.01020408163265304</v>
      </c>
    </row>
    <row r="6">
      <c r="A6" s="2" t="inlineStr">
        <is>
          <t>Zava Consumer</t>
        </is>
      </c>
      <c r="B6" s="6" t="n">
        <v>110.4</v>
      </c>
      <c r="C6" s="6" t="n">
        <v>117.2</v>
      </c>
      <c r="D6" s="6" t="n">
        <v>123.4</v>
      </c>
      <c r="E6" s="6" t="n">
        <v>124</v>
      </c>
      <c r="F6" s="6" t="n">
        <v>122.6</v>
      </c>
      <c r="G6" s="6" t="n">
        <v>118.3</v>
      </c>
      <c r="H6" s="6" t="n">
        <v>117.1</v>
      </c>
      <c r="I6" s="6" t="n">
        <v>109.7</v>
      </c>
      <c r="J6" s="6" t="n">
        <v>110.7</v>
      </c>
      <c r="K6" s="6" t="n">
        <v>103</v>
      </c>
      <c r="L6" s="6" t="n">
        <v>102.2</v>
      </c>
      <c r="M6" s="6" t="n">
        <v>111.5</v>
      </c>
      <c r="N6" s="6" t="n">
        <v>1370.1</v>
      </c>
      <c r="O6" s="6" t="n">
        <v>1356.3</v>
      </c>
      <c r="P6" s="4" t="n">
        <v>0.01017474010174737</v>
      </c>
    </row>
    <row r="7">
      <c r="A7" s="5" t="inlineStr">
        <is>
          <t>Group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  <c r="P7" s="4">
        <f>(N7-O7)/O7</f>
        <v/>
      </c>
    </row>
  </sheetData>
  <conditionalFormatting sqref="P2:P7">
    <cfRule type="cellIs" priority="1" operator="lessThan" dxfId="0">
      <formula>-0.02</formula>
    </cfRule>
    <cfRule type="cellIs" priority="2" operator="between" dxfId="1">
      <formula>-0.02</formula>
      <formula>0.01</formula>
    </cfRule>
    <cfRule type="cellIs" priority="3" operator="greaterThanOrEqual" dxfId="2">
      <formula>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2026-06-03T10:29:28Z</dcterms:created>
  <dcterms:modified xmlns:dcterms="http://purl.org/dc/terms/" xmlns:xsi="http://www.w3.org/2001/XMLSchema-instance" xsi:type="dcterms:W3CDTF">2026-06-03T10:29:28Z</dcterms:modified>
</cp:coreProperties>
</file>